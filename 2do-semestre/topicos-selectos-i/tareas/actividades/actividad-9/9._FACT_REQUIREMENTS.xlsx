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ndenzzapisos-my.sharepoint.com/personal/actuario_tendenzza_it/Documents/Escritorio/MIGUEL RAMIREZ/TABLAS_CLASE_TOPICOS_2026A/"/>
    </mc:Choice>
  </mc:AlternateContent>
  <xr:revisionPtr revIDLastSave="11" documentId="8_{EA971F62-2F43-44A5-9A6D-6AA3D149C8AB}" xr6:coauthVersionLast="47" xr6:coauthVersionMax="47" xr10:uidLastSave="{73362557-3669-4F03-AE5A-A1F1B9FA49AE}"/>
  <bookViews>
    <workbookView xWindow="-108" yWindow="-108" windowWidth="23256" windowHeight="12456" xr2:uid="{B5884970-399A-4105-98BF-EB56464764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4" i="1" l="1"/>
  <c r="N24" i="1" s="1"/>
  <c r="I23" i="1"/>
  <c r="N23" i="1" s="1"/>
  <c r="I22" i="1"/>
  <c r="N22" i="1" s="1"/>
  <c r="I21" i="1"/>
  <c r="M21" i="1" s="1"/>
  <c r="I20" i="1"/>
  <c r="M20" i="1" s="1"/>
  <c r="I19" i="1"/>
  <c r="M19" i="1" s="1"/>
  <c r="I18" i="1"/>
  <c r="N18" i="1" s="1"/>
  <c r="I17" i="1"/>
  <c r="N17" i="1" s="1"/>
  <c r="I16" i="1"/>
  <c r="M16" i="1" s="1"/>
  <c r="I15" i="1"/>
  <c r="N15" i="1" s="1"/>
  <c r="I14" i="1"/>
  <c r="N14" i="1" s="1"/>
  <c r="I13" i="1"/>
  <c r="N13" i="1" s="1"/>
  <c r="I12" i="1"/>
  <c r="N12" i="1" s="1"/>
  <c r="I11" i="1"/>
  <c r="M11" i="1" s="1"/>
  <c r="I10" i="1"/>
  <c r="N10" i="1" s="1"/>
  <c r="I9" i="1"/>
  <c r="N9" i="1" s="1"/>
  <c r="I8" i="1"/>
  <c r="N8" i="1" s="1"/>
  <c r="I7" i="1"/>
  <c r="N7" i="1" s="1"/>
  <c r="I6" i="1"/>
  <c r="N6" i="1" s="1"/>
  <c r="I5" i="1"/>
  <c r="N5" i="1" s="1"/>
  <c r="I4" i="1"/>
  <c r="N4" i="1" s="1"/>
  <c r="I3" i="1"/>
  <c r="M3" i="1" s="1"/>
  <c r="I2" i="1"/>
  <c r="M2" i="1" s="1"/>
  <c r="N19" i="1" l="1"/>
  <c r="M14" i="1"/>
  <c r="N3" i="1"/>
  <c r="N21" i="1"/>
  <c r="M9" i="1"/>
  <c r="M15" i="1"/>
  <c r="N11" i="1"/>
  <c r="M17" i="1"/>
  <c r="M7" i="1"/>
  <c r="M23" i="1"/>
  <c r="M10" i="1"/>
  <c r="M5" i="1"/>
  <c r="N16" i="1"/>
  <c r="M6" i="1"/>
  <c r="M18" i="1"/>
  <c r="N20" i="1"/>
  <c r="M22" i="1"/>
  <c r="M12" i="1"/>
  <c r="M13" i="1"/>
  <c r="N2" i="1"/>
  <c r="M8" i="1"/>
  <c r="M24" i="1"/>
</calcChain>
</file>

<file path=xl/sharedStrings.xml><?xml version="1.0" encoding="utf-8"?>
<sst xmlns="http://schemas.openxmlformats.org/spreadsheetml/2006/main" count="130" uniqueCount="57">
  <si>
    <t>QTY</t>
  </si>
  <si>
    <t>FOB</t>
  </si>
  <si>
    <t>SUPPLIER</t>
  </si>
  <si>
    <t>FAMILIA</t>
  </si>
  <si>
    <t>BUYER</t>
  </si>
  <si>
    <t>ITEMS</t>
  </si>
  <si>
    <t>QTY MASTER</t>
  </si>
  <si>
    <t>LEAD TIME</t>
  </si>
  <si>
    <t>PO</t>
  </si>
  <si>
    <t>TOTAL AMOUNT</t>
  </si>
  <si>
    <t>POS</t>
  </si>
  <si>
    <t>CBM</t>
  </si>
  <si>
    <t>AMOUNT ADVANCED PAYMENT</t>
  </si>
  <si>
    <t>PORCENTAGE ADVANCE PAYMENT TO PAY</t>
  </si>
  <si>
    <t>ESTIMATED ADVANCED PAYMENT DATE</t>
  </si>
  <si>
    <t>FOCO</t>
  </si>
  <si>
    <t>ALICIA</t>
  </si>
  <si>
    <t>LED06/3WP</t>
  </si>
  <si>
    <t>TBD</t>
  </si>
  <si>
    <t>LED07C/15W</t>
  </si>
  <si>
    <t>SUBURBANA</t>
  </si>
  <si>
    <t>T-SUBFOT/150W-A</t>
  </si>
  <si>
    <t>PANEL REDONDO</t>
  </si>
  <si>
    <t>LRD/9W</t>
  </si>
  <si>
    <t>LR-LED/3W</t>
  </si>
  <si>
    <t>GABINETE</t>
  </si>
  <si>
    <t>LA-304L</t>
  </si>
  <si>
    <t>ACCESORIO</t>
  </si>
  <si>
    <t>MIRIAM</t>
  </si>
  <si>
    <t>TUB-SUB/NC</t>
  </si>
  <si>
    <t>TUB-SUB/NL</t>
  </si>
  <si>
    <t>TUBOS</t>
  </si>
  <si>
    <t>LA-LED/36W</t>
  </si>
  <si>
    <t>REFLECTOR</t>
  </si>
  <si>
    <t xml:space="preserve">REFLED/20WN </t>
  </si>
  <si>
    <t xml:space="preserve">REFLED/30WN </t>
  </si>
  <si>
    <t xml:space="preserve">REFLEDC/50WN </t>
  </si>
  <si>
    <t xml:space="preserve">REFLED/200W </t>
  </si>
  <si>
    <t xml:space="preserve">REFLED/300W </t>
  </si>
  <si>
    <t xml:space="preserve">REFLEDRGB/30WN </t>
  </si>
  <si>
    <t xml:space="preserve">REFLEDRGB/100WN </t>
  </si>
  <si>
    <t>PAJ-15W</t>
  </si>
  <si>
    <t>SOBREPONER</t>
  </si>
  <si>
    <t>LR-LED/24W-SP</t>
  </si>
  <si>
    <t>LR-LEDN/18W-SP</t>
  </si>
  <si>
    <t>LR-LEDN/12W-SP</t>
  </si>
  <si>
    <t>PAJC-15W</t>
  </si>
  <si>
    <t>PAJ-20W</t>
  </si>
  <si>
    <t>LR-LEDN/24W-SP</t>
  </si>
  <si>
    <t>10 SUPPLIER</t>
  </si>
  <si>
    <t>7 SUPPLIER</t>
  </si>
  <si>
    <t>1 SUPPLIER</t>
  </si>
  <si>
    <t>9 SUPPLIER</t>
  </si>
  <si>
    <t>8 SUPPLIER</t>
  </si>
  <si>
    <t>2 SUPPLIER</t>
  </si>
  <si>
    <t>6 SUPPLIER</t>
  </si>
  <si>
    <t>5 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</si>
</sst>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name val="Aptos Narrow"/>
      <family val="2"/>
      <scheme val="minor"/>
    </font>
    <font>
      <sz val="1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44" fontId="0" fillId="0" borderId="0" xfId="2" applyFont="1" applyAlignment="1">
      <alignment horizontal="center"/>
    </xf>
    <xf numFmtId="164" fontId="2" fillId="0" borderId="0" xfId="0" applyNumberFormat="1" applyFont="1"/>
    <xf numFmtId="1" fontId="0" fillId="0" borderId="0" xfId="0" applyNumberFormat="1" applyAlignment="1">
      <alignment horizontal="center"/>
    </xf>
    <xf numFmtId="164" fontId="0" fillId="0" borderId="0" xfId="0" applyNumberFormat="1"/>
    <xf numFmtId="14" fontId="3" fillId="2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44" fontId="3" fillId="0" borderId="0" xfId="2" applyFont="1" applyFill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1" fontId="3" fillId="0" borderId="0" xfId="1" applyNumberFormat="1" applyFont="1" applyFill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left" vertical="center"/>
    </xf>
  </cellXfs>
  <cellStyles count="3">
    <cellStyle name="Comma" xfId="1" builtinId="3"/>
    <cellStyle name="Currency" xfId="2" builtinId="4"/>
    <cellStyle name="Normal" xfId="0" builtinId="0"/>
  </cellStyles>
  <dxfs count="14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E2AA7-7FED-4C98-8A55-66A95D05C60E}">
  <dimension ref="A1:O24"/>
  <sheetViews>
    <sheetView tabSelected="1" workbookViewId="0">
      <selection activeCell="A2" sqref="A2:A24"/>
    </sheetView>
  </sheetViews>
  <sheetFormatPr defaultRowHeight="14.4"/>
  <cols>
    <col min="2" max="2" width="7.44140625" bestFit="1" customWidth="1"/>
    <col min="3" max="3" width="6.44140625" bestFit="1" customWidth="1"/>
    <col min="4" max="4" width="5.77734375" bestFit="1" customWidth="1"/>
    <col min="5" max="5" width="11.109375" bestFit="1" customWidth="1"/>
    <col min="6" max="6" width="9.33203125" bestFit="1" customWidth="1"/>
    <col min="7" max="7" width="3.44140625" bestFit="1" customWidth="1"/>
    <col min="8" max="8" width="4.44140625" bestFit="1" customWidth="1"/>
    <col min="9" max="9" width="13.88671875" bestFit="1" customWidth="1"/>
    <col min="10" max="10" width="4.44140625" bestFit="1" customWidth="1"/>
    <col min="11" max="11" width="4.21875" bestFit="1" customWidth="1"/>
    <col min="12" max="12" width="4.77734375" bestFit="1" customWidth="1"/>
    <col min="13" max="13" width="35.88671875" bestFit="1" customWidth="1"/>
    <col min="14" max="14" width="26.6640625" bestFit="1" customWidth="1"/>
    <col min="15" max="15" width="33" bestFit="1" customWidth="1"/>
  </cols>
  <sheetData>
    <row r="1" spans="1:1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1</v>
      </c>
      <c r="I1" t="s">
        <v>9</v>
      </c>
      <c r="J1" t="s">
        <v>10</v>
      </c>
      <c r="K1" t="s">
        <v>0</v>
      </c>
      <c r="L1" t="s">
        <v>11</v>
      </c>
      <c r="M1" t="s">
        <v>13</v>
      </c>
      <c r="N1" t="s">
        <v>12</v>
      </c>
      <c r="O1" t="s">
        <v>14</v>
      </c>
    </row>
    <row r="2" spans="1:15">
      <c r="A2" s="1" t="s">
        <v>49</v>
      </c>
      <c r="B2" s="2" t="s">
        <v>15</v>
      </c>
      <c r="C2" t="s">
        <v>16</v>
      </c>
      <c r="D2" s="3" t="s">
        <v>17</v>
      </c>
      <c r="E2">
        <v>100</v>
      </c>
      <c r="F2">
        <v>45</v>
      </c>
      <c r="G2" s="4">
        <v>4500014840</v>
      </c>
      <c r="H2" s="5">
        <v>1.3000000000000002E-4</v>
      </c>
      <c r="I2" s="6">
        <f t="shared" ref="I2:I24" si="0">H2*K2</f>
        <v>1.3000000000000003</v>
      </c>
      <c r="J2" s="2">
        <v>10</v>
      </c>
      <c r="K2" s="7">
        <v>10000</v>
      </c>
      <c r="L2" t="s">
        <v>18</v>
      </c>
      <c r="M2" s="5">
        <f>I2*0.3</f>
        <v>0.39000000000000007</v>
      </c>
      <c r="N2" s="8">
        <f>I2*0.7</f>
        <v>0.91000000000000014</v>
      </c>
      <c r="O2" s="9">
        <v>46146</v>
      </c>
    </row>
    <row r="3" spans="1:15">
      <c r="A3" s="1" t="s">
        <v>50</v>
      </c>
      <c r="B3" s="2" t="s">
        <v>15</v>
      </c>
      <c r="C3" t="s">
        <v>16</v>
      </c>
      <c r="D3" s="3" t="s">
        <v>19</v>
      </c>
      <c r="E3">
        <v>100</v>
      </c>
      <c r="F3">
        <v>45</v>
      </c>
      <c r="G3" s="4">
        <v>4500014840</v>
      </c>
      <c r="H3" s="5">
        <v>3.2000000000000003E-4</v>
      </c>
      <c r="I3" s="6">
        <f t="shared" si="0"/>
        <v>2.3360000000000003</v>
      </c>
      <c r="J3" s="2">
        <v>20</v>
      </c>
      <c r="K3" s="7">
        <v>7300</v>
      </c>
      <c r="L3" t="s">
        <v>18</v>
      </c>
      <c r="M3" s="5">
        <f>I3*0.3</f>
        <v>0.70080000000000009</v>
      </c>
      <c r="N3" s="8">
        <f>I3*0.7</f>
        <v>1.6352000000000002</v>
      </c>
      <c r="O3" s="9">
        <v>46146</v>
      </c>
    </row>
    <row r="4" spans="1:15">
      <c r="A4" s="1" t="s">
        <v>50</v>
      </c>
      <c r="B4" s="2" t="s">
        <v>20</v>
      </c>
      <c r="C4" t="s">
        <v>16</v>
      </c>
      <c r="D4" s="3" t="s">
        <v>21</v>
      </c>
      <c r="E4">
        <v>5</v>
      </c>
      <c r="F4">
        <v>45</v>
      </c>
      <c r="G4" s="4">
        <v>4500014841</v>
      </c>
      <c r="H4" s="5">
        <v>1.49E-2</v>
      </c>
      <c r="I4" s="6">
        <f t="shared" si="0"/>
        <v>22.35</v>
      </c>
      <c r="J4" s="2">
        <v>10</v>
      </c>
      <c r="K4" s="7">
        <v>1500</v>
      </c>
      <c r="L4" t="s">
        <v>18</v>
      </c>
      <c r="M4" s="5">
        <v>0</v>
      </c>
      <c r="N4" s="8">
        <f>I4</f>
        <v>22.35</v>
      </c>
      <c r="O4" s="2"/>
    </row>
    <row r="5" spans="1:15">
      <c r="A5" s="1" t="s">
        <v>51</v>
      </c>
      <c r="B5" s="2" t="s">
        <v>22</v>
      </c>
      <c r="C5" t="s">
        <v>16</v>
      </c>
      <c r="D5" s="3" t="s">
        <v>23</v>
      </c>
      <c r="E5">
        <v>30</v>
      </c>
      <c r="F5">
        <v>45</v>
      </c>
      <c r="G5" s="4">
        <v>4500014842</v>
      </c>
      <c r="H5" s="5">
        <v>6.4999999999999997E-4</v>
      </c>
      <c r="I5" s="6">
        <f t="shared" si="0"/>
        <v>1.95</v>
      </c>
      <c r="J5" s="2">
        <v>10</v>
      </c>
      <c r="K5" s="7">
        <v>3000</v>
      </c>
      <c r="L5" t="s">
        <v>18</v>
      </c>
      <c r="M5" s="5">
        <f t="shared" ref="M5:M24" si="1">I5*0.3</f>
        <v>0.58499999999999996</v>
      </c>
      <c r="N5" s="8">
        <f t="shared" ref="N5:N24" si="2">I5*0.7</f>
        <v>1.365</v>
      </c>
      <c r="O5" s="9">
        <v>46146</v>
      </c>
    </row>
    <row r="6" spans="1:15">
      <c r="A6" s="1" t="s">
        <v>52</v>
      </c>
      <c r="B6" s="2" t="s">
        <v>22</v>
      </c>
      <c r="C6" t="s">
        <v>16</v>
      </c>
      <c r="D6" s="3" t="s">
        <v>24</v>
      </c>
      <c r="E6">
        <v>100</v>
      </c>
      <c r="F6">
        <v>45</v>
      </c>
      <c r="G6" s="4">
        <v>4500014854</v>
      </c>
      <c r="H6" s="5">
        <v>4.6999999999999999E-4</v>
      </c>
      <c r="I6" s="6">
        <f t="shared" si="0"/>
        <v>3.29</v>
      </c>
      <c r="J6" s="2">
        <v>10</v>
      </c>
      <c r="K6" s="7">
        <v>7000</v>
      </c>
      <c r="L6" t="s">
        <v>18</v>
      </c>
      <c r="M6" s="5">
        <f t="shared" si="1"/>
        <v>0.98699999999999999</v>
      </c>
      <c r="N6" s="8">
        <f t="shared" si="2"/>
        <v>2.3029999999999999</v>
      </c>
      <c r="O6" s="9">
        <v>46146</v>
      </c>
    </row>
    <row r="7" spans="1:15">
      <c r="A7" s="1" t="s">
        <v>49</v>
      </c>
      <c r="B7" s="2" t="s">
        <v>25</v>
      </c>
      <c r="C7" t="s">
        <v>16</v>
      </c>
      <c r="D7" s="3" t="s">
        <v>26</v>
      </c>
      <c r="E7">
        <v>12</v>
      </c>
      <c r="F7">
        <v>45</v>
      </c>
      <c r="G7" s="4">
        <v>4500014845</v>
      </c>
      <c r="H7" s="5">
        <v>2.49E-3</v>
      </c>
      <c r="I7" s="6">
        <f t="shared" si="0"/>
        <v>7.47</v>
      </c>
      <c r="J7" s="2">
        <v>10</v>
      </c>
      <c r="K7" s="7">
        <v>3000</v>
      </c>
      <c r="L7" t="s">
        <v>18</v>
      </c>
      <c r="M7" s="5">
        <f t="shared" si="1"/>
        <v>2.2409999999999997</v>
      </c>
      <c r="N7" s="8">
        <f t="shared" si="2"/>
        <v>5.2289999999999992</v>
      </c>
      <c r="O7" s="10">
        <v>46154</v>
      </c>
    </row>
    <row r="8" spans="1:15">
      <c r="A8" s="1" t="s">
        <v>53</v>
      </c>
      <c r="B8" s="12" t="s">
        <v>27</v>
      </c>
      <c r="C8" t="s">
        <v>28</v>
      </c>
      <c r="D8" s="11" t="s">
        <v>29</v>
      </c>
      <c r="E8">
        <v>10</v>
      </c>
      <c r="F8">
        <v>45</v>
      </c>
      <c r="G8" s="13">
        <v>4500014856</v>
      </c>
      <c r="H8" s="14">
        <v>1.1000000000000001E-3</v>
      </c>
      <c r="I8" s="15">
        <f t="shared" si="0"/>
        <v>0.77</v>
      </c>
      <c r="J8" s="16">
        <v>10</v>
      </c>
      <c r="K8" s="17">
        <v>700</v>
      </c>
      <c r="L8" t="s">
        <v>18</v>
      </c>
      <c r="M8" s="5">
        <f>I8*0.2</f>
        <v>0.15400000000000003</v>
      </c>
      <c r="N8" s="8">
        <f>I8*0.8</f>
        <v>0.6160000000000001</v>
      </c>
      <c r="O8" s="18">
        <v>46146</v>
      </c>
    </row>
    <row r="9" spans="1:15">
      <c r="A9" s="1" t="s">
        <v>54</v>
      </c>
      <c r="B9" s="12" t="s">
        <v>27</v>
      </c>
      <c r="C9" t="s">
        <v>28</v>
      </c>
      <c r="D9" s="11" t="s">
        <v>30</v>
      </c>
      <c r="E9">
        <v>10</v>
      </c>
      <c r="F9">
        <v>45</v>
      </c>
      <c r="G9" s="13">
        <v>4500014856</v>
      </c>
      <c r="H9" s="14">
        <v>1.4E-3</v>
      </c>
      <c r="I9" s="15">
        <f t="shared" si="0"/>
        <v>2.8</v>
      </c>
      <c r="J9" s="16">
        <v>20</v>
      </c>
      <c r="K9" s="17">
        <v>2000</v>
      </c>
      <c r="L9" t="s">
        <v>18</v>
      </c>
      <c r="M9" s="5">
        <f>I9*0.2</f>
        <v>0.55999999999999994</v>
      </c>
      <c r="N9" s="8">
        <f>I9*0.8</f>
        <v>2.2399999999999998</v>
      </c>
      <c r="O9" s="18">
        <v>46146</v>
      </c>
    </row>
    <row r="10" spans="1:15">
      <c r="A10" s="1" t="s">
        <v>52</v>
      </c>
      <c r="B10" s="12" t="s">
        <v>31</v>
      </c>
      <c r="C10" t="s">
        <v>28</v>
      </c>
      <c r="D10" s="11" t="s">
        <v>32</v>
      </c>
      <c r="E10">
        <v>30</v>
      </c>
      <c r="F10">
        <v>45</v>
      </c>
      <c r="G10" s="16">
        <v>4500014857</v>
      </c>
      <c r="H10" s="14">
        <v>2.4629999999999999E-3</v>
      </c>
      <c r="I10" s="15">
        <f t="shared" si="0"/>
        <v>10.41849</v>
      </c>
      <c r="J10" s="16">
        <v>10</v>
      </c>
      <c r="K10" s="17">
        <v>4230</v>
      </c>
      <c r="L10" t="s">
        <v>18</v>
      </c>
      <c r="M10" s="5">
        <f t="shared" si="1"/>
        <v>3.1255470000000001</v>
      </c>
      <c r="N10" s="8">
        <f t="shared" si="2"/>
        <v>7.2929429999999993</v>
      </c>
      <c r="O10" s="18">
        <v>46154</v>
      </c>
    </row>
    <row r="11" spans="1:15">
      <c r="A11" s="1" t="s">
        <v>51</v>
      </c>
      <c r="B11" s="2" t="s">
        <v>33</v>
      </c>
      <c r="C11" t="s">
        <v>28</v>
      </c>
      <c r="D11" s="11" t="s">
        <v>34</v>
      </c>
      <c r="E11">
        <v>50</v>
      </c>
      <c r="F11">
        <v>45</v>
      </c>
      <c r="G11" s="16">
        <v>4500014855</v>
      </c>
      <c r="H11" s="14">
        <v>1.25E-3</v>
      </c>
      <c r="I11" s="19">
        <f t="shared" si="0"/>
        <v>3.9250000000000003</v>
      </c>
      <c r="J11" s="16">
        <v>40</v>
      </c>
      <c r="K11" s="17">
        <v>3140</v>
      </c>
      <c r="L11" t="s">
        <v>18</v>
      </c>
      <c r="M11" s="5">
        <f t="shared" si="1"/>
        <v>1.1775</v>
      </c>
      <c r="N11" s="8">
        <f t="shared" si="2"/>
        <v>2.7475000000000001</v>
      </c>
      <c r="O11" s="9">
        <v>46150</v>
      </c>
    </row>
    <row r="12" spans="1:15">
      <c r="A12" s="1" t="s">
        <v>55</v>
      </c>
      <c r="B12" s="2" t="s">
        <v>33</v>
      </c>
      <c r="C12" t="s">
        <v>28</v>
      </c>
      <c r="D12" s="20" t="s">
        <v>35</v>
      </c>
      <c r="E12">
        <v>20</v>
      </c>
      <c r="F12">
        <v>45</v>
      </c>
      <c r="G12" s="16">
        <v>4500014855</v>
      </c>
      <c r="H12" s="5">
        <v>1.7600000000000001E-3</v>
      </c>
      <c r="I12" s="19">
        <f t="shared" si="0"/>
        <v>1.4080000000000001</v>
      </c>
      <c r="J12" s="2">
        <v>10</v>
      </c>
      <c r="K12" s="7">
        <v>800</v>
      </c>
      <c r="L12" t="s">
        <v>18</v>
      </c>
      <c r="M12" s="5">
        <f t="shared" si="1"/>
        <v>0.42240000000000005</v>
      </c>
      <c r="N12" s="8">
        <f t="shared" si="2"/>
        <v>0.98560000000000003</v>
      </c>
      <c r="O12" s="9">
        <v>46150</v>
      </c>
    </row>
    <row r="13" spans="1:15">
      <c r="A13" s="1" t="s">
        <v>52</v>
      </c>
      <c r="B13" s="2" t="s">
        <v>33</v>
      </c>
      <c r="C13" t="s">
        <v>28</v>
      </c>
      <c r="D13" s="20" t="s">
        <v>36</v>
      </c>
      <c r="E13">
        <v>10</v>
      </c>
      <c r="F13">
        <v>45</v>
      </c>
      <c r="G13" s="16">
        <v>4500014855</v>
      </c>
      <c r="H13" s="5">
        <v>2.5000000000000001E-3</v>
      </c>
      <c r="I13" s="19">
        <f t="shared" si="0"/>
        <v>1.75</v>
      </c>
      <c r="J13" s="2">
        <v>20</v>
      </c>
      <c r="K13" s="7">
        <v>700</v>
      </c>
      <c r="L13" t="s">
        <v>18</v>
      </c>
      <c r="M13" s="5">
        <f t="shared" si="1"/>
        <v>0.52500000000000002</v>
      </c>
      <c r="N13" s="8">
        <f t="shared" si="2"/>
        <v>1.2249999999999999</v>
      </c>
      <c r="O13" s="9">
        <v>46150</v>
      </c>
    </row>
    <row r="14" spans="1:15">
      <c r="A14" s="1" t="s">
        <v>50</v>
      </c>
      <c r="B14" s="2" t="s">
        <v>33</v>
      </c>
      <c r="C14" t="s">
        <v>28</v>
      </c>
      <c r="D14" s="20" t="s">
        <v>37</v>
      </c>
      <c r="E14">
        <v>5</v>
      </c>
      <c r="F14">
        <v>45</v>
      </c>
      <c r="G14" s="16">
        <v>4500014855</v>
      </c>
      <c r="H14" s="5">
        <v>8.7200000000000003E-3</v>
      </c>
      <c r="I14" s="19">
        <f t="shared" si="0"/>
        <v>31.391999999999999</v>
      </c>
      <c r="J14" s="2">
        <v>30</v>
      </c>
      <c r="K14" s="7">
        <v>3600</v>
      </c>
      <c r="L14" t="s">
        <v>18</v>
      </c>
      <c r="M14" s="5">
        <f t="shared" si="1"/>
        <v>9.4176000000000002</v>
      </c>
      <c r="N14" s="8">
        <f t="shared" si="2"/>
        <v>21.974399999999999</v>
      </c>
      <c r="O14" s="9">
        <v>46150</v>
      </c>
    </row>
    <row r="15" spans="1:15">
      <c r="A15" s="1" t="s">
        <v>50</v>
      </c>
      <c r="B15" s="2" t="s">
        <v>33</v>
      </c>
      <c r="C15" t="s">
        <v>28</v>
      </c>
      <c r="D15" s="20" t="s">
        <v>38</v>
      </c>
      <c r="E15">
        <v>2</v>
      </c>
      <c r="F15">
        <v>45</v>
      </c>
      <c r="G15" s="16">
        <v>4500014855</v>
      </c>
      <c r="H15" s="5">
        <v>1.512E-2</v>
      </c>
      <c r="I15" s="19">
        <f t="shared" si="0"/>
        <v>7.56</v>
      </c>
      <c r="J15" s="2">
        <v>40</v>
      </c>
      <c r="K15" s="7">
        <v>500</v>
      </c>
      <c r="L15" t="s">
        <v>18</v>
      </c>
      <c r="M15" s="5">
        <f t="shared" si="1"/>
        <v>2.2679999999999998</v>
      </c>
      <c r="N15" s="8">
        <f t="shared" si="2"/>
        <v>5.2919999999999998</v>
      </c>
      <c r="O15" s="9">
        <v>46150</v>
      </c>
    </row>
    <row r="16" spans="1:15">
      <c r="A16" s="1" t="s">
        <v>50</v>
      </c>
      <c r="B16" s="2" t="s">
        <v>33</v>
      </c>
      <c r="C16" t="s">
        <v>28</v>
      </c>
      <c r="D16" s="20" t="s">
        <v>39</v>
      </c>
      <c r="E16">
        <v>40</v>
      </c>
      <c r="F16">
        <v>45</v>
      </c>
      <c r="G16" s="16">
        <v>4500014855</v>
      </c>
      <c r="H16" s="5">
        <v>3.3E-3</v>
      </c>
      <c r="I16" s="19">
        <f t="shared" si="0"/>
        <v>1.6830000000000001</v>
      </c>
      <c r="J16" s="2">
        <v>50</v>
      </c>
      <c r="K16" s="7">
        <v>510</v>
      </c>
      <c r="L16" t="s">
        <v>18</v>
      </c>
      <c r="M16" s="5">
        <f t="shared" si="1"/>
        <v>0.50490000000000002</v>
      </c>
      <c r="N16" s="8">
        <f t="shared" si="2"/>
        <v>1.1780999999999999</v>
      </c>
      <c r="O16" s="9">
        <v>46150</v>
      </c>
    </row>
    <row r="17" spans="1:15">
      <c r="A17" s="1" t="s">
        <v>50</v>
      </c>
      <c r="B17" s="2" t="s">
        <v>33</v>
      </c>
      <c r="C17" t="s">
        <v>28</v>
      </c>
      <c r="D17" s="20" t="s">
        <v>40</v>
      </c>
      <c r="E17">
        <v>20</v>
      </c>
      <c r="F17">
        <v>45</v>
      </c>
      <c r="G17" s="16">
        <v>4500014855</v>
      </c>
      <c r="H17" s="5">
        <v>7.9000000000000008E-3</v>
      </c>
      <c r="I17" s="19">
        <f t="shared" si="0"/>
        <v>3.95</v>
      </c>
      <c r="J17" s="2">
        <v>60</v>
      </c>
      <c r="K17" s="7">
        <v>500</v>
      </c>
      <c r="L17" t="s">
        <v>18</v>
      </c>
      <c r="M17" s="5">
        <f t="shared" si="1"/>
        <v>1.1850000000000001</v>
      </c>
      <c r="N17" s="8">
        <f t="shared" si="2"/>
        <v>2.7650000000000001</v>
      </c>
      <c r="O17" s="9">
        <v>46151</v>
      </c>
    </row>
    <row r="18" spans="1:15">
      <c r="A18" s="1" t="s">
        <v>52</v>
      </c>
      <c r="B18" s="2" t="s">
        <v>22</v>
      </c>
      <c r="C18" t="s">
        <v>16</v>
      </c>
      <c r="D18" t="s">
        <v>41</v>
      </c>
      <c r="E18">
        <v>30</v>
      </c>
      <c r="F18">
        <v>45</v>
      </c>
      <c r="G18" s="16">
        <v>4500014867</v>
      </c>
      <c r="H18" s="5">
        <v>6.8999999999999997E-4</v>
      </c>
      <c r="I18" s="19">
        <f t="shared" si="0"/>
        <v>27.613799999999998</v>
      </c>
      <c r="J18" s="2">
        <v>10</v>
      </c>
      <c r="K18" s="7">
        <v>40020</v>
      </c>
      <c r="L18" t="s">
        <v>18</v>
      </c>
      <c r="M18" s="5">
        <f t="shared" si="1"/>
        <v>8.2841399999999989</v>
      </c>
      <c r="N18" s="8">
        <f t="shared" si="2"/>
        <v>19.329659999999997</v>
      </c>
      <c r="O18" s="10">
        <v>46154</v>
      </c>
    </row>
    <row r="19" spans="1:15">
      <c r="A19" s="1" t="s">
        <v>55</v>
      </c>
      <c r="B19" s="2" t="s">
        <v>42</v>
      </c>
      <c r="C19" t="s">
        <v>16</v>
      </c>
      <c r="D19" t="s">
        <v>43</v>
      </c>
      <c r="E19">
        <v>20</v>
      </c>
      <c r="F19">
        <v>45</v>
      </c>
      <c r="G19" s="16">
        <v>4500014867</v>
      </c>
      <c r="H19" s="5">
        <v>1.56E-3</v>
      </c>
      <c r="I19" s="19">
        <f t="shared" si="0"/>
        <v>8.4239999999999995</v>
      </c>
      <c r="J19" s="2">
        <v>20</v>
      </c>
      <c r="K19" s="7">
        <v>5400</v>
      </c>
      <c r="L19" t="s">
        <v>18</v>
      </c>
      <c r="M19" s="5">
        <f t="shared" si="1"/>
        <v>2.5271999999999997</v>
      </c>
      <c r="N19" s="8">
        <f t="shared" si="2"/>
        <v>5.8967999999999989</v>
      </c>
      <c r="O19" s="10">
        <v>46154</v>
      </c>
    </row>
    <row r="20" spans="1:15">
      <c r="A20" s="1" t="s">
        <v>50</v>
      </c>
      <c r="B20" s="2" t="s">
        <v>42</v>
      </c>
      <c r="C20" t="s">
        <v>16</v>
      </c>
      <c r="D20" t="s">
        <v>44</v>
      </c>
      <c r="E20">
        <v>20</v>
      </c>
      <c r="F20">
        <v>45</v>
      </c>
      <c r="G20" s="16">
        <v>4500014867</v>
      </c>
      <c r="H20" s="5">
        <v>1.1999999999999999E-3</v>
      </c>
      <c r="I20" s="19">
        <f t="shared" si="0"/>
        <v>1.68</v>
      </c>
      <c r="J20" s="2">
        <v>30</v>
      </c>
      <c r="K20" s="7">
        <v>1400</v>
      </c>
      <c r="L20" t="s">
        <v>18</v>
      </c>
      <c r="M20" s="5">
        <f t="shared" si="1"/>
        <v>0.504</v>
      </c>
      <c r="N20" s="8">
        <f t="shared" si="2"/>
        <v>1.1759999999999999</v>
      </c>
      <c r="O20" s="10">
        <v>46154</v>
      </c>
    </row>
    <row r="21" spans="1:15">
      <c r="A21" s="1" t="s">
        <v>56</v>
      </c>
      <c r="B21" s="2" t="s">
        <v>42</v>
      </c>
      <c r="C21" t="s">
        <v>16</v>
      </c>
      <c r="D21" t="s">
        <v>45</v>
      </c>
      <c r="E21">
        <v>30</v>
      </c>
      <c r="F21">
        <v>45</v>
      </c>
      <c r="G21" s="16">
        <v>4500014867</v>
      </c>
      <c r="H21" s="5">
        <v>9.3000000000000005E-4</v>
      </c>
      <c r="I21" s="19">
        <f t="shared" si="0"/>
        <v>1.4787000000000001</v>
      </c>
      <c r="J21" s="2">
        <v>40</v>
      </c>
      <c r="K21" s="7">
        <v>1590</v>
      </c>
      <c r="L21" t="s">
        <v>18</v>
      </c>
      <c r="M21" s="5">
        <f t="shared" si="1"/>
        <v>0.44361</v>
      </c>
      <c r="N21" s="8">
        <f t="shared" si="2"/>
        <v>1.0350900000000001</v>
      </c>
      <c r="O21" s="10">
        <v>46154</v>
      </c>
    </row>
    <row r="22" spans="1:15">
      <c r="A22" s="1" t="s">
        <v>49</v>
      </c>
      <c r="B22" t="s">
        <v>22</v>
      </c>
      <c r="C22" t="s">
        <v>16</v>
      </c>
      <c r="D22" t="s">
        <v>46</v>
      </c>
      <c r="E22">
        <v>30</v>
      </c>
      <c r="F22">
        <v>45</v>
      </c>
      <c r="G22" s="16">
        <v>4500014867</v>
      </c>
      <c r="H22" s="5">
        <v>6.8999999999999997E-4</v>
      </c>
      <c r="I22" s="19">
        <f t="shared" si="0"/>
        <v>2.0699999999999998</v>
      </c>
      <c r="J22" s="2">
        <v>50</v>
      </c>
      <c r="K22" s="7">
        <v>3000</v>
      </c>
      <c r="L22" t="s">
        <v>18</v>
      </c>
      <c r="M22" s="5">
        <f t="shared" si="1"/>
        <v>0.62099999999999989</v>
      </c>
      <c r="N22" s="8">
        <f t="shared" si="2"/>
        <v>1.4489999999999998</v>
      </c>
      <c r="O22" s="10">
        <v>46154</v>
      </c>
    </row>
    <row r="23" spans="1:15">
      <c r="A23" s="1" t="s">
        <v>54</v>
      </c>
      <c r="B23" t="s">
        <v>22</v>
      </c>
      <c r="C23" t="s">
        <v>16</v>
      </c>
      <c r="D23" t="s">
        <v>47</v>
      </c>
      <c r="E23">
        <v>30</v>
      </c>
      <c r="F23">
        <v>45</v>
      </c>
      <c r="G23" s="16">
        <v>4500014867</v>
      </c>
      <c r="H23" s="5">
        <v>1E-3</v>
      </c>
      <c r="I23" s="19">
        <f t="shared" si="0"/>
        <v>3</v>
      </c>
      <c r="J23" s="2">
        <v>60</v>
      </c>
      <c r="K23" s="7">
        <v>3000</v>
      </c>
      <c r="L23" t="s">
        <v>18</v>
      </c>
      <c r="M23" s="5">
        <f t="shared" si="1"/>
        <v>0.89999999999999991</v>
      </c>
      <c r="N23" s="8">
        <f t="shared" si="2"/>
        <v>2.0999999999999996</v>
      </c>
      <c r="O23" s="10">
        <v>46154</v>
      </c>
    </row>
    <row r="24" spans="1:15">
      <c r="A24" s="1" t="s">
        <v>54</v>
      </c>
      <c r="B24" s="2" t="s">
        <v>42</v>
      </c>
      <c r="C24" t="s">
        <v>16</v>
      </c>
      <c r="D24" t="s">
        <v>48</v>
      </c>
      <c r="E24">
        <v>20</v>
      </c>
      <c r="F24">
        <v>45</v>
      </c>
      <c r="G24" s="16">
        <v>4500014867</v>
      </c>
      <c r="H24" s="5">
        <v>1.65E-3</v>
      </c>
      <c r="I24" s="19">
        <f t="shared" si="0"/>
        <v>0.90749999999999997</v>
      </c>
      <c r="J24" s="2">
        <v>70</v>
      </c>
      <c r="K24" s="7">
        <v>550</v>
      </c>
      <c r="L24" t="s">
        <v>18</v>
      </c>
      <c r="M24" s="5">
        <f t="shared" si="1"/>
        <v>0.27224999999999999</v>
      </c>
      <c r="N24" s="8">
        <f t="shared" si="2"/>
        <v>0.63524999999999998</v>
      </c>
      <c r="O24" s="10">
        <v>46154</v>
      </c>
    </row>
  </sheetData>
  <conditionalFormatting sqref="D18:D24">
    <cfRule type="duplicateValues" dxfId="13" priority="1"/>
  </conditionalFormatting>
  <conditionalFormatting sqref="J8:J9">
    <cfRule type="containsText" dxfId="12" priority="12" operator="containsText" text="PRODUCCION">
      <formula>NOT(ISERROR(SEARCH("PRODUCCION",J8)))</formula>
    </cfRule>
    <cfRule type="containsText" dxfId="11" priority="13" operator="containsText" text="terminado">
      <formula>NOT(ISERROR(SEARCH("terminado",J8)))</formula>
    </cfRule>
    <cfRule type="containsText" dxfId="10" priority="14" operator="containsText" text="TRANSITO">
      <formula>NOT(ISERROR(SEARCH("TRANSITO",J8)))</formula>
    </cfRule>
  </conditionalFormatting>
  <conditionalFormatting sqref="J11">
    <cfRule type="containsText" dxfId="9" priority="8" operator="containsText" text="PRODUCCION">
      <formula>NOT(ISERROR(SEARCH("PRODUCCION",J11)))</formula>
    </cfRule>
    <cfRule type="containsText" dxfId="8" priority="9" operator="containsText" text="terminado">
      <formula>NOT(ISERROR(SEARCH("terminado",J11)))</formula>
    </cfRule>
  </conditionalFormatting>
  <conditionalFormatting sqref="J10:K10">
    <cfRule type="containsText" dxfId="7" priority="11" operator="containsText" text="PRODUCCION">
      <formula>NOT(ISERROR(SEARCH("PRODUCCION",J10)))</formula>
    </cfRule>
  </conditionalFormatting>
  <conditionalFormatting sqref="J10:K11">
    <cfRule type="containsText" dxfId="6" priority="10" operator="containsText" text="TRANSITO">
      <formula>NOT(ISERROR(SEARCH("TRANSITO",J10)))</formula>
    </cfRule>
  </conditionalFormatting>
  <conditionalFormatting sqref="O2:O3">
    <cfRule type="containsText" dxfId="5" priority="2" operator="containsText" text="TRANSITO">
      <formula>NOT(ISERROR(SEARCH("TRANSITO",O2)))</formula>
    </cfRule>
    <cfRule type="containsText" dxfId="4" priority="3" operator="containsText" text="PRODUCCION">
      <formula>NOT(ISERROR(SEARCH("PRODUCCION",O2)))</formula>
    </cfRule>
  </conditionalFormatting>
  <conditionalFormatting sqref="O5:O6">
    <cfRule type="containsText" dxfId="3" priority="4" operator="containsText" text="TRANSITO">
      <formula>NOT(ISERROR(SEARCH("TRANSITO",O5)))</formula>
    </cfRule>
    <cfRule type="containsText" dxfId="2" priority="5" operator="containsText" text="PRODUCCION">
      <formula>NOT(ISERROR(SEARCH("PRODUCCION",O5)))</formula>
    </cfRule>
  </conditionalFormatting>
  <conditionalFormatting sqref="O10:O17">
    <cfRule type="containsText" dxfId="1" priority="6" operator="containsText" text="TRANSITO">
      <formula>NOT(ISERROR(SEARCH("TRANSITO",O10)))</formula>
    </cfRule>
    <cfRule type="containsText" dxfId="0" priority="7" operator="containsText" text="PRODUCCION">
      <formula>NOT(ISERROR(SEARCH("PRODUCCION",O10)))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Ramirez</dc:creator>
  <cp:lastModifiedBy>Miguel Ramirez</cp:lastModifiedBy>
  <dcterms:created xsi:type="dcterms:W3CDTF">2026-05-07T14:36:26Z</dcterms:created>
  <dcterms:modified xsi:type="dcterms:W3CDTF">2026-05-20T01:12:01Z</dcterms:modified>
</cp:coreProperties>
</file>