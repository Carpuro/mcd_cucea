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1" documentId="8_{BDC8A1C5-B3B9-4108-B63D-46256B49A39F}" xr6:coauthVersionLast="47" xr6:coauthVersionMax="47" xr10:uidLastSave="{01FCA510-C215-469B-9DC5-93E19FA9C370}"/>
  <bookViews>
    <workbookView xWindow="-108" yWindow="-108" windowWidth="23256" windowHeight="12456" xr2:uid="{43784BA9-61F7-4D1A-B3F0-60A2A7D98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Q3" i="1" l="1"/>
  <c r="CT3" i="1" s="1"/>
  <c r="CB3" i="1"/>
  <c r="CA3" i="1"/>
  <c r="BX3" i="1"/>
  <c r="BV3" i="1" s="1"/>
  <c r="BN3" i="1"/>
  <c r="BS3" i="1" s="1"/>
  <c r="BK3" i="1"/>
  <c r="BJ3" i="1"/>
  <c r="CG2" i="1"/>
  <c r="CQ2" i="1" s="1"/>
  <c r="CT2" i="1" s="1"/>
  <c r="CB2" i="1"/>
  <c r="CA2" i="1"/>
  <c r="BX2" i="1"/>
  <c r="BV2" i="1" s="1"/>
  <c r="BS2" i="1"/>
  <c r="BP2" i="1" s="1"/>
  <c r="BN2" i="1"/>
  <c r="BK2" i="1"/>
  <c r="BJ2" i="1"/>
  <c r="BY2" i="1" l="1"/>
  <c r="BU2" i="1"/>
  <c r="BW2" i="1"/>
  <c r="BU3" i="1"/>
  <c r="BW3" i="1"/>
  <c r="BY3" i="1"/>
  <c r="BR3" i="1"/>
  <c r="BT3" i="1"/>
  <c r="BQ3" i="1"/>
  <c r="BP3" i="1"/>
  <c r="BQ2" i="1"/>
  <c r="BR2" i="1"/>
  <c r="BT2" i="1"/>
</calcChain>
</file>

<file path=xl/sharedStrings.xml><?xml version="1.0" encoding="utf-8"?>
<sst xmlns="http://schemas.openxmlformats.org/spreadsheetml/2006/main" count="150" uniqueCount="122">
  <si>
    <t>STATUS</t>
  </si>
  <si>
    <t>ZD</t>
  </si>
  <si>
    <t>ORDEN DE COMPRA</t>
  </si>
  <si>
    <t>ITEM</t>
  </si>
  <si>
    <t>POS  SAP</t>
  </si>
  <si>
    <t xml:space="preserve"># CONT. </t>
  </si>
  <si>
    <t>P. ORIGEN</t>
  </si>
  <si>
    <t>P. DESTINO</t>
  </si>
  <si>
    <t>MODALIDAD NAVIERA</t>
  </si>
  <si>
    <t xml:space="preserve">DESTINO FINAL </t>
  </si>
  <si>
    <t xml:space="preserve">LLEGADA A CEDIS REAL </t>
  </si>
  <si>
    <t>PROVEEDOR</t>
  </si>
  <si>
    <t>DIA LIBRES DE DEMORA</t>
  </si>
  <si>
    <t>TELEX</t>
  </si>
  <si>
    <t>NAVIERA</t>
  </si>
  <si>
    <t>FWD</t>
  </si>
  <si>
    <t>FOLIO AMC</t>
  </si>
  <si>
    <t>FACTURA FW / NAVIERA</t>
  </si>
  <si>
    <t>VALOR FLETE</t>
  </si>
  <si>
    <t>HBL</t>
  </si>
  <si>
    <t>BOOKING  / MASTER</t>
  </si>
  <si>
    <t>CONTENEDOR</t>
  </si>
  <si>
    <t>ETD</t>
  </si>
  <si>
    <t>ETA PUERTO DESTINO</t>
  </si>
  <si>
    <t>PISO</t>
  </si>
  <si>
    <t xml:space="preserve">TERMINAL </t>
  </si>
  <si>
    <t>FACTURA LOGIPUERTO GUARDADA</t>
  </si>
  <si>
    <t>A.A.</t>
  </si>
  <si>
    <t>PED PAGADO</t>
  </si>
  <si>
    <t>PEDIMENTO</t>
  </si>
  <si>
    <t>REFERENCIA</t>
  </si>
  <si>
    <t>CITA DE DESPACHO</t>
  </si>
  <si>
    <t>TRANSPORTE INTERIOR</t>
  </si>
  <si>
    <t xml:space="preserve"># FACTURA </t>
  </si>
  <si>
    <t>FACTURA PASADA A PAGO TRANSPORTE INTERIOR</t>
  </si>
  <si>
    <t>PAGO ENVIADO A TRANSPORTE INTERIOR</t>
  </si>
  <si>
    <t xml:space="preserve"># FACTURA CUSTODIA </t>
  </si>
  <si>
    <t>FACTURA PASADA A PAGO CENTAURO</t>
  </si>
  <si>
    <t>PAGO ENVIADO CENTAURO</t>
  </si>
  <si>
    <t>PESO KG</t>
  </si>
  <si>
    <t># INV &amp; PL</t>
  </si>
  <si>
    <t>FECHA FACTURA COM</t>
  </si>
  <si>
    <t># CAJAS</t>
  </si>
  <si>
    <t>PZAS</t>
  </si>
  <si>
    <t>MT2</t>
  </si>
  <si>
    <t>MONTO FACT X CONT X MT2</t>
  </si>
  <si>
    <t>INCREMENTABLE</t>
  </si>
  <si>
    <t>DOC.  ORIG.  (CERT.)</t>
  </si>
  <si>
    <t>CERTIFICADO ORIGINAL ENVIADO  AL AA</t>
  </si>
  <si>
    <t xml:space="preserve">DOCUMENTOS </t>
  </si>
  <si>
    <t>CARTA PAGO CON ANTICIPO Y LIQUIDACION</t>
  </si>
  <si>
    <t>NOTIFICADO AA</t>
  </si>
  <si>
    <t>SOLICITUD DE PAGO HONORARIOS</t>
  </si>
  <si>
    <t xml:space="preserve">SOLICITUD DE PAGO IMPUESTOS </t>
  </si>
  <si>
    <t>SOLICITUD DE PAGO NAVIERA</t>
  </si>
  <si>
    <t>ENCOMIENDA / GARANTIA</t>
  </si>
  <si>
    <t>PAGO FW / NAVIERA</t>
  </si>
  <si>
    <t>PAGO AA</t>
  </si>
  <si>
    <t>PAGO CONTECON</t>
  </si>
  <si>
    <t>MV</t>
  </si>
  <si>
    <t>REV</t>
  </si>
  <si>
    <t>VENCE DIA LIBRE PUERTO</t>
  </si>
  <si>
    <t>VENCE DEMORA NAVIERA</t>
  </si>
  <si>
    <t>RA</t>
  </si>
  <si>
    <t>DOCUMENTADO</t>
  </si>
  <si>
    <t>SALIDA DE CONT DE PTO</t>
  </si>
  <si>
    <t>FECHA DE VACIO</t>
  </si>
  <si>
    <t>00-02 días
Verde</t>
  </si>
  <si>
    <t>03-04 días 
Amarillo</t>
  </si>
  <si>
    <t>05-06 días 
Rojo</t>
  </si>
  <si>
    <t>DÍAS LIBRES</t>
  </si>
  <si>
    <t>DÍAS GENERADOS ALMACENAJE</t>
  </si>
  <si>
    <t>00-10 días 
Verde</t>
  </si>
  <si>
    <t>11-15 días 
Amarillo</t>
  </si>
  <si>
    <t>16-20 días 
Rojo</t>
  </si>
  <si>
    <t>DÍAS GENERADOS DEMORA</t>
  </si>
  <si>
    <t>CARPETA DIGITAL COMPLETADA</t>
  </si>
  <si>
    <t>MUELLAJE</t>
  </si>
  <si>
    <t xml:space="preserve">SEGURIDAD PORTUARIA </t>
  </si>
  <si>
    <t>CONTROL ELECTRONICO</t>
  </si>
  <si>
    <t>Servicios de Certificación de Carbono Neutro</t>
  </si>
  <si>
    <t>MANIOBRAS CORTADO</t>
  </si>
  <si>
    <t>MANIOBRAS POR RECONOCIMIENTO ADUANERO</t>
  </si>
  <si>
    <t xml:space="preserve">ALMACENAJE </t>
  </si>
  <si>
    <t>SER. ADMON</t>
  </si>
  <si>
    <t>LIMPIEZA CONTENDOR</t>
  </si>
  <si>
    <t>CARGO POR INCUMPLIMIENTO (REPROGRAMACIÓN DE CITA)</t>
  </si>
  <si>
    <t>HONORARIOS FACTURA DE AGENTE ADUANAL</t>
  </si>
  <si>
    <t xml:space="preserve">RECINTOS FISCALES </t>
  </si>
  <si>
    <t>PEDIMENTO / CONTRAPRESTACIN / OTROS</t>
  </si>
  <si>
    <t>SELLOS / RECONOCIMIENTO ADUANERO</t>
  </si>
  <si>
    <t xml:space="preserve">TOTAL </t>
  </si>
  <si>
    <t>FLETE MERIDA</t>
  </si>
  <si>
    <t>ANTICIPO</t>
  </si>
  <si>
    <t xml:space="preserve">SALDO </t>
  </si>
  <si>
    <t>OBSERVACIONES</t>
  </si>
  <si>
    <t>COMPLETO // 38 pallets</t>
  </si>
  <si>
    <t>FALTA</t>
  </si>
  <si>
    <t>GE18W-SE</t>
  </si>
  <si>
    <t>NANSHA</t>
  </si>
  <si>
    <t>MANZANILLO</t>
  </si>
  <si>
    <t>CORTADO A PUERTO</t>
  </si>
  <si>
    <t>ALMACEN  FISCAL</t>
  </si>
  <si>
    <t>100615 JIANGMEN  LANGJIE  TRADING</t>
  </si>
  <si>
    <t>OK</t>
  </si>
  <si>
    <t>ONE</t>
  </si>
  <si>
    <t xml:space="preserve">FWD AIRMAR ONE </t>
  </si>
  <si>
    <t>FAE356851</t>
  </si>
  <si>
    <t>SZSD26010612</t>
  </si>
  <si>
    <t>ONEYSZPFAU671608</t>
  </si>
  <si>
    <t>TGHU6954528</t>
  </si>
  <si>
    <t>CONTECON</t>
  </si>
  <si>
    <t xml:space="preserve">VILLANUEVA </t>
  </si>
  <si>
    <t>26 16 1861 6001723 A4</t>
  </si>
  <si>
    <t>Z2601826 A4</t>
  </si>
  <si>
    <t>VILLANUEVA</t>
  </si>
  <si>
    <t>F‐19763</t>
  </si>
  <si>
    <t>#MW2025003</t>
  </si>
  <si>
    <t>ok</t>
  </si>
  <si>
    <t>1,376.29 por cambio de sello para almacen fiscal</t>
  </si>
  <si>
    <t>COMPLETO</t>
  </si>
  <si>
    <t>GEP-36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</si>
</sst>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1540A]dd\-mmm\-yy"/>
    <numFmt numFmtId="165" formatCode="dd/mm/yyyy;@"/>
    <numFmt numFmtId="166" formatCode="d/m/yyyy"/>
    <numFmt numFmtId="167" formatCode="dd/mm/yy"/>
    <numFmt numFmtId="168" formatCode="_-[$$-409]* #,##0.0_ ;_-[$$-409]* \-#,##0.0\ ;_-[$$-409]* &quot;-&quot;??_ ;_-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8"/>
      <color rgb="FFFFFFFF"/>
      <name val="Calibri"/>
      <family val="2"/>
    </font>
    <font>
      <b/>
      <sz val="8"/>
      <color rgb="FF00B050"/>
      <name val="Calibri"/>
      <family val="2"/>
    </font>
    <font>
      <b/>
      <sz val="8"/>
      <color rgb="FFFFD965"/>
      <name val="Calibri"/>
      <family val="2"/>
    </font>
    <font>
      <b/>
      <sz val="8"/>
      <color rgb="FFC00000"/>
      <name val="Calibri"/>
      <family val="2"/>
    </font>
    <font>
      <b/>
      <sz val="8"/>
      <color theme="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theme="4"/>
        <bgColor theme="4"/>
      </patternFill>
    </fill>
    <fill>
      <patternFill patternType="solid">
        <fgColor rgb="FF9933FF"/>
        <bgColor rgb="FF9933FF"/>
      </patternFill>
    </fill>
    <fill>
      <patternFill patternType="solid">
        <fgColor rgb="FFAEABAB"/>
        <bgColor rgb="FFAEABAB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00B0F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66FF33"/>
        <bgColor rgb="FF66FF33"/>
      </patternFill>
    </fill>
    <fill>
      <patternFill patternType="solid">
        <fgColor rgb="FF0070C0"/>
        <bgColor rgb="FF0070C0"/>
      </patternFill>
    </fill>
    <fill>
      <patternFill patternType="solid">
        <fgColor rgb="FFFFE598"/>
        <bgColor rgb="FFFFE598"/>
      </patternFill>
    </fill>
    <fill>
      <patternFill patternType="solid">
        <fgColor rgb="FF7030A0"/>
        <bgColor rgb="FF7030A0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FF0066"/>
        <bgColor rgb="FFFF0066"/>
      </patternFill>
    </fill>
    <fill>
      <patternFill patternType="solid">
        <fgColor rgb="FF66FF66"/>
        <bgColor rgb="FF66FF66"/>
      </patternFill>
    </fill>
    <fill>
      <patternFill patternType="solid">
        <fgColor rgb="FFFF66FF"/>
        <bgColor rgb="FFFF66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4" fontId="2" fillId="6" borderId="1" xfId="0" applyNumberFormat="1" applyFont="1" applyFill="1" applyBorder="1" applyAlignment="1">
      <alignment horizontal="center" vertical="center" wrapText="1"/>
    </xf>
    <xf numFmtId="16" fontId="2" fillId="6" borderId="1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3" fillId="10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" fontId="2" fillId="7" borderId="1" xfId="0" applyNumberFormat="1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16" fontId="7" fillId="8" borderId="1" xfId="0" applyNumberFormat="1" applyFont="1" applyFill="1" applyBorder="1" applyAlignment="1">
      <alignment horizontal="center" vertical="center" wrapText="1"/>
    </xf>
    <xf numFmtId="16" fontId="8" fillId="8" borderId="1" xfId="0" applyNumberFormat="1" applyFont="1" applyFill="1" applyBorder="1" applyAlignment="1">
      <alignment horizontal="center" vertical="center" wrapText="1"/>
    </xf>
    <xf numFmtId="16" fontId="9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" fontId="7" fillId="9" borderId="1" xfId="0" applyNumberFormat="1" applyFont="1" applyFill="1" applyBorder="1" applyAlignment="1">
      <alignment horizontal="center" vertical="center" wrapText="1"/>
    </xf>
    <xf numFmtId="16" fontId="8" fillId="9" borderId="1" xfId="0" applyNumberFormat="1" applyFont="1" applyFill="1" applyBorder="1" applyAlignment="1">
      <alignment horizontal="center" vertical="center" wrapText="1"/>
    </xf>
    <xf numFmtId="16" fontId="9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5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7" fontId="3" fillId="11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12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168" fontId="2" fillId="14" borderId="0" xfId="0" applyNumberFormat="1" applyFont="1" applyFill="1" applyAlignment="1">
      <alignment horizontal="center" vertical="center" wrapText="1"/>
    </xf>
    <xf numFmtId="44" fontId="2" fillId="14" borderId="0" xfId="1" applyFont="1" applyFill="1" applyBorder="1" applyAlignment="1">
      <alignment horizontal="center" vertical="center" wrapText="1"/>
    </xf>
    <xf numFmtId="164" fontId="3" fillId="15" borderId="0" xfId="0" applyNumberFormat="1" applyFont="1" applyFill="1" applyAlignment="1">
      <alignment horizontal="center" vertical="center"/>
    </xf>
    <xf numFmtId="164" fontId="2" fillId="16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 wrapText="1"/>
    </xf>
    <xf numFmtId="15" fontId="2" fillId="16" borderId="0" xfId="0" applyNumberFormat="1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14" fontId="3" fillId="19" borderId="0" xfId="0" applyNumberFormat="1" applyFont="1" applyFill="1" applyAlignment="1">
      <alignment horizontal="center" vertical="center"/>
    </xf>
    <xf numFmtId="166" fontId="3" fillId="19" borderId="0" xfId="0" applyNumberFormat="1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14" fontId="3" fillId="20" borderId="0" xfId="0" applyNumberFormat="1" applyFont="1" applyFill="1" applyAlignment="1">
      <alignment horizontal="center" vertical="center"/>
    </xf>
    <xf numFmtId="166" fontId="3" fillId="20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 wrapText="1"/>
    </xf>
    <xf numFmtId="0" fontId="3" fillId="21" borderId="4" xfId="0" applyFont="1" applyFill="1" applyBorder="1" applyAlignment="1">
      <alignment horizontal="center" vertical="center" wrapText="1"/>
    </xf>
    <xf numFmtId="166" fontId="3" fillId="21" borderId="0" xfId="0" applyNumberFormat="1" applyFont="1" applyFill="1" applyAlignment="1">
      <alignment horizontal="center" vertical="center" wrapText="1"/>
    </xf>
    <xf numFmtId="3" fontId="3" fillId="21" borderId="0" xfId="0" applyNumberFormat="1" applyFont="1" applyFill="1" applyAlignment="1">
      <alignment horizontal="center" vertical="center" wrapText="1"/>
    </xf>
    <xf numFmtId="4" fontId="3" fillId="21" borderId="0" xfId="0" applyNumberFormat="1" applyFont="1" applyFill="1" applyAlignment="1">
      <alignment horizontal="center" vertical="center" wrapText="1"/>
    </xf>
    <xf numFmtId="4" fontId="2" fillId="22" borderId="0" xfId="0" applyNumberFormat="1" applyFont="1" applyFill="1" applyAlignment="1">
      <alignment horizontal="center" vertical="center" wrapText="1"/>
    </xf>
    <xf numFmtId="4" fontId="3" fillId="23" borderId="0" xfId="0" applyNumberFormat="1" applyFont="1" applyFill="1" applyAlignment="1">
      <alignment horizontal="center" vertical="center" wrapText="1"/>
    </xf>
    <xf numFmtId="16" fontId="2" fillId="24" borderId="0" xfId="0" applyNumberFormat="1" applyFont="1" applyFill="1" applyAlignment="1">
      <alignment horizontal="center" vertical="center"/>
    </xf>
    <xf numFmtId="16" fontId="2" fillId="25" borderId="0" xfId="0" applyNumberFormat="1" applyFont="1" applyFill="1" applyAlignment="1">
      <alignment horizontal="center" vertical="center"/>
    </xf>
    <xf numFmtId="16" fontId="2" fillId="16" borderId="0" xfId="0" applyNumberFormat="1" applyFont="1" applyFill="1" applyAlignment="1">
      <alignment horizontal="center" vertical="center"/>
    </xf>
    <xf numFmtId="16" fontId="3" fillId="20" borderId="0" xfId="0" applyNumberFormat="1" applyFont="1" applyFill="1" applyAlignment="1">
      <alignment horizontal="center" vertical="center"/>
    </xf>
    <xf numFmtId="16" fontId="9" fillId="12" borderId="0" xfId="0" applyNumberFormat="1" applyFont="1" applyFill="1" applyAlignment="1">
      <alignment horizontal="center" vertical="center"/>
    </xf>
    <xf numFmtId="16" fontId="12" fillId="26" borderId="0" xfId="0" applyNumberFormat="1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16" fontId="3" fillId="28" borderId="0" xfId="0" applyNumberFormat="1" applyFont="1" applyFill="1" applyAlignment="1">
      <alignment horizontal="center" vertical="center"/>
    </xf>
    <xf numFmtId="16" fontId="3" fillId="4" borderId="0" xfId="0" applyNumberFormat="1" applyFont="1" applyFill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3" fillId="29" borderId="5" xfId="0" applyFont="1" applyFill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C988-8EF9-4168-9FF0-C340B201E229}">
  <dimension ref="A1:CU3"/>
  <sheetViews>
    <sheetView tabSelected="1" topLeftCell="Z1" workbookViewId="0">
      <selection activeCell="AR3" sqref="AR3"/>
    </sheetView>
  </sheetViews>
  <sheetFormatPr defaultRowHeight="10.8" x14ac:dyDescent="0.25"/>
  <cols>
    <col min="1" max="16384" width="8.88671875" style="39"/>
  </cols>
  <sheetData>
    <row r="1" spans="1:99" ht="72" thickBot="1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10" t="s">
        <v>12</v>
      </c>
      <c r="N1" s="8" t="s">
        <v>13</v>
      </c>
      <c r="O1" s="11" t="s">
        <v>14</v>
      </c>
      <c r="P1" s="6" t="s">
        <v>15</v>
      </c>
      <c r="Q1" s="6" t="s">
        <v>16</v>
      </c>
      <c r="R1" s="6" t="s">
        <v>17</v>
      </c>
      <c r="S1" s="12" t="s">
        <v>18</v>
      </c>
      <c r="T1" s="8" t="s">
        <v>19</v>
      </c>
      <c r="U1" s="8" t="s">
        <v>20</v>
      </c>
      <c r="V1" s="8" t="s">
        <v>21</v>
      </c>
      <c r="W1" s="13" t="s">
        <v>22</v>
      </c>
      <c r="X1" s="14" t="s">
        <v>23</v>
      </c>
      <c r="Y1" s="15" t="s">
        <v>24</v>
      </c>
      <c r="Z1" s="8" t="s">
        <v>25</v>
      </c>
      <c r="AA1" s="8" t="s">
        <v>26</v>
      </c>
      <c r="AB1" s="8" t="s">
        <v>27</v>
      </c>
      <c r="AC1" s="15" t="s">
        <v>28</v>
      </c>
      <c r="AD1" s="8" t="s">
        <v>29</v>
      </c>
      <c r="AE1" s="8" t="s">
        <v>30</v>
      </c>
      <c r="AF1" s="16" t="s">
        <v>31</v>
      </c>
      <c r="AG1" s="17" t="s">
        <v>32</v>
      </c>
      <c r="AH1" s="18" t="s">
        <v>33</v>
      </c>
      <c r="AI1" s="19" t="s">
        <v>34</v>
      </c>
      <c r="AJ1" s="19" t="s">
        <v>35</v>
      </c>
      <c r="AK1" s="20" t="s">
        <v>36</v>
      </c>
      <c r="AL1" s="21" t="s">
        <v>37</v>
      </c>
      <c r="AM1" s="21" t="s">
        <v>38</v>
      </c>
      <c r="AN1" s="8" t="s">
        <v>39</v>
      </c>
      <c r="AO1" s="7" t="s">
        <v>40</v>
      </c>
      <c r="AP1" s="22" t="s">
        <v>41</v>
      </c>
      <c r="AQ1" s="23" t="s">
        <v>42</v>
      </c>
      <c r="AR1" s="23" t="s">
        <v>43</v>
      </c>
      <c r="AS1" s="24" t="s">
        <v>44</v>
      </c>
      <c r="AT1" s="24" t="s">
        <v>45</v>
      </c>
      <c r="AU1" s="24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6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6" t="s">
        <v>60</v>
      </c>
      <c r="BJ1" s="26" t="s">
        <v>61</v>
      </c>
      <c r="BK1" s="26" t="s">
        <v>62</v>
      </c>
      <c r="BL1" s="8" t="s">
        <v>63</v>
      </c>
      <c r="BM1" s="8" t="s">
        <v>64</v>
      </c>
      <c r="BN1" s="8" t="s">
        <v>65</v>
      </c>
      <c r="BO1" s="26" t="s">
        <v>66</v>
      </c>
      <c r="BP1" s="27" t="s">
        <v>67</v>
      </c>
      <c r="BQ1" s="28" t="s">
        <v>68</v>
      </c>
      <c r="BR1" s="29" t="s">
        <v>69</v>
      </c>
      <c r="BS1" s="30" t="s">
        <v>70</v>
      </c>
      <c r="BT1" s="30" t="s">
        <v>71</v>
      </c>
      <c r="BU1" s="31" t="s">
        <v>72</v>
      </c>
      <c r="BV1" s="32" t="s">
        <v>73</v>
      </c>
      <c r="BW1" s="33" t="s">
        <v>74</v>
      </c>
      <c r="BX1" s="34" t="s">
        <v>70</v>
      </c>
      <c r="BY1" s="34" t="s">
        <v>75</v>
      </c>
      <c r="BZ1" s="35" t="s">
        <v>76</v>
      </c>
      <c r="CA1" s="36" t="s">
        <v>29</v>
      </c>
      <c r="CB1" s="36" t="s">
        <v>30</v>
      </c>
      <c r="CC1" s="37" t="s">
        <v>77</v>
      </c>
      <c r="CD1" s="37" t="s">
        <v>78</v>
      </c>
      <c r="CE1" s="37" t="s">
        <v>79</v>
      </c>
      <c r="CF1" s="37" t="s">
        <v>80</v>
      </c>
      <c r="CG1" s="37" t="s">
        <v>81</v>
      </c>
      <c r="CH1" s="37" t="s">
        <v>82</v>
      </c>
      <c r="CI1" s="37" t="s">
        <v>83</v>
      </c>
      <c r="CJ1" s="37" t="s">
        <v>84</v>
      </c>
      <c r="CK1" s="37" t="s">
        <v>85</v>
      </c>
      <c r="CL1" s="37" t="s">
        <v>86</v>
      </c>
      <c r="CM1" s="37" t="s">
        <v>87</v>
      </c>
      <c r="CN1" s="37" t="s">
        <v>88</v>
      </c>
      <c r="CO1" s="37" t="s">
        <v>89</v>
      </c>
      <c r="CP1" s="37" t="s">
        <v>90</v>
      </c>
      <c r="CQ1" s="37" t="s">
        <v>91</v>
      </c>
      <c r="CR1" s="37" t="s">
        <v>92</v>
      </c>
      <c r="CS1" s="37" t="s">
        <v>93</v>
      </c>
      <c r="CT1" s="37" t="s">
        <v>94</v>
      </c>
      <c r="CU1" s="38" t="s">
        <v>95</v>
      </c>
    </row>
    <row r="2" spans="1:99" ht="51" x14ac:dyDescent="0.25">
      <c r="A2" s="3" t="s">
        <v>96</v>
      </c>
      <c r="B2" s="40" t="s">
        <v>97</v>
      </c>
      <c r="C2" s="40">
        <v>4500014482</v>
      </c>
      <c r="D2" s="41" t="s">
        <v>98</v>
      </c>
      <c r="E2" s="40">
        <v>10</v>
      </c>
      <c r="F2" s="42"/>
      <c r="G2" s="40" t="s">
        <v>99</v>
      </c>
      <c r="H2" s="40" t="s">
        <v>100</v>
      </c>
      <c r="I2" s="40" t="s">
        <v>101</v>
      </c>
      <c r="J2" s="40" t="s">
        <v>102</v>
      </c>
      <c r="K2" s="43"/>
      <c r="L2" s="44" t="s">
        <v>103</v>
      </c>
      <c r="M2" s="45">
        <v>21</v>
      </c>
      <c r="N2" s="46" t="s">
        <v>104</v>
      </c>
      <c r="O2" s="47" t="s">
        <v>105</v>
      </c>
      <c r="P2" s="48" t="s">
        <v>106</v>
      </c>
      <c r="Q2" s="48"/>
      <c r="R2" s="48" t="s">
        <v>107</v>
      </c>
      <c r="S2" s="49">
        <v>1430</v>
      </c>
      <c r="T2" s="44" t="s">
        <v>108</v>
      </c>
      <c r="U2" s="44" t="s">
        <v>109</v>
      </c>
      <c r="V2" s="44" t="s">
        <v>110</v>
      </c>
      <c r="W2" s="50">
        <v>46034</v>
      </c>
      <c r="X2" s="51">
        <v>46071</v>
      </c>
      <c r="Y2" s="50">
        <v>46073</v>
      </c>
      <c r="Z2" s="52" t="s">
        <v>111</v>
      </c>
      <c r="AA2" s="52" t="s">
        <v>104</v>
      </c>
      <c r="AB2" s="53" t="s">
        <v>112</v>
      </c>
      <c r="AC2" s="54">
        <v>46076</v>
      </c>
      <c r="AD2" s="55" t="s">
        <v>113</v>
      </c>
      <c r="AE2" s="40" t="s">
        <v>114</v>
      </c>
      <c r="AF2" s="56">
        <v>46078</v>
      </c>
      <c r="AG2" s="57" t="s">
        <v>115</v>
      </c>
      <c r="AH2" s="57">
        <v>578</v>
      </c>
      <c r="AI2" s="58">
        <v>46086</v>
      </c>
      <c r="AJ2" s="59">
        <v>46065</v>
      </c>
      <c r="AK2" s="60" t="s">
        <v>116</v>
      </c>
      <c r="AL2" s="61">
        <v>46086</v>
      </c>
      <c r="AM2" s="62">
        <v>46092</v>
      </c>
      <c r="AN2" s="63"/>
      <c r="AO2" s="64" t="s">
        <v>117</v>
      </c>
      <c r="AP2" s="65">
        <v>46029</v>
      </c>
      <c r="AQ2" s="66">
        <v>775</v>
      </c>
      <c r="AR2" s="66">
        <v>7750</v>
      </c>
      <c r="AS2" s="67"/>
      <c r="AT2" s="67"/>
      <c r="AU2" s="67"/>
      <c r="AV2" s="68"/>
      <c r="AW2" s="69"/>
      <c r="AX2" s="70"/>
      <c r="AY2" s="71"/>
      <c r="AZ2" s="72">
        <v>46059</v>
      </c>
      <c r="BA2" s="72">
        <v>46064</v>
      </c>
      <c r="BB2" s="72">
        <v>46064</v>
      </c>
      <c r="BC2" s="72">
        <v>46064</v>
      </c>
      <c r="BD2" s="72"/>
      <c r="BE2" s="72">
        <v>46066</v>
      </c>
      <c r="BF2" s="72">
        <v>46067</v>
      </c>
      <c r="BG2" s="72" t="s">
        <v>118</v>
      </c>
      <c r="BH2" s="72">
        <v>46065</v>
      </c>
      <c r="BI2" s="72" t="s">
        <v>118</v>
      </c>
      <c r="BJ2" s="73">
        <f t="shared" ref="BJ2:BJ3" si="0">Y2+6</f>
        <v>46079</v>
      </c>
      <c r="BK2" s="74">
        <f t="shared" ref="BK2:BK3" si="1">X2+M2-1</f>
        <v>46091</v>
      </c>
      <c r="BL2" s="75"/>
      <c r="BM2" s="76"/>
      <c r="BN2" s="77">
        <f t="shared" ref="BN2:BN3" si="2">AF2</f>
        <v>46078</v>
      </c>
      <c r="BO2" s="78">
        <v>46081</v>
      </c>
      <c r="BP2" s="4" t="str">
        <f t="shared" ref="BP2:BP3" ca="1" si="3">IF(AND(BS2&lt;=2,BS2&gt;=0),".","")</f>
        <v/>
      </c>
      <c r="BQ2" s="4" t="str">
        <f t="shared" ref="BQ2:BQ3" ca="1" si="4">IF(AND(BS2&lt;=4,BS2&gt;=3),".","")</f>
        <v/>
      </c>
      <c r="BR2" s="4" t="str">
        <f t="shared" ref="BR2:BR3" ca="1" si="5">IF(AND(BS2&lt;=100,BS2&gt;=5),".","")</f>
        <v>.</v>
      </c>
      <c r="BS2" s="4">
        <f t="shared" ref="BS2:BS3" ca="1" si="6">IF(BN2="",TODAY()-Y2,IF((BN2-Y2)&lt;0,0,(BN2-Y2)))</f>
        <v>5</v>
      </c>
      <c r="BT2" s="4">
        <f t="shared" ref="BT2:BT3" ca="1" si="7">IF(BS2-6&lt;0,0,BS2-6)</f>
        <v>0</v>
      </c>
      <c r="BU2" s="4" t="str">
        <f t="shared" ref="BU2:BU3" ca="1" si="8">IF(AND(BX2&lt;=10,BX2&gt;=0),".","")</f>
        <v>.</v>
      </c>
      <c r="BV2" s="4" t="str">
        <f t="shared" ref="BV2:BV3" ca="1" si="9">IF(AND(BX2&lt;=15,BX2&gt;=11),".","")</f>
        <v/>
      </c>
      <c r="BW2" s="4" t="str">
        <f t="shared" ref="BW2:BW3" ca="1" si="10">IF(AND(BX2&lt;=100,BX2&gt;=16),".","")</f>
        <v/>
      </c>
      <c r="BX2" s="4">
        <f t="shared" ref="BX2:BX3" ca="1" si="11">IF(BO2="",TODAY()-X2,IF((BO2-X2)&lt;0,0,(BO2-X2)))</f>
        <v>10</v>
      </c>
      <c r="BY2" s="4">
        <f t="shared" ref="BY2:BY3" ca="1" si="12">IF(BX2-20&lt;0,0,BX2-20)</f>
        <v>0</v>
      </c>
      <c r="BZ2" s="79">
        <v>46102</v>
      </c>
      <c r="CA2" s="80" t="str">
        <f t="shared" ref="CA2:CB3" si="13">AD2</f>
        <v>26 16 1861 6001723 A4</v>
      </c>
      <c r="CB2" s="80" t="str">
        <f t="shared" si="13"/>
        <v>Z2601826 A4</v>
      </c>
      <c r="CC2" s="81">
        <v>262.95999999999998</v>
      </c>
      <c r="CD2" s="81">
        <v>163.79</v>
      </c>
      <c r="CE2" s="81">
        <v>780.01</v>
      </c>
      <c r="CF2" s="81"/>
      <c r="CG2" s="81">
        <f>3683.98+4211.65+4000</f>
        <v>11895.63</v>
      </c>
      <c r="CH2" s="81"/>
      <c r="CI2" s="81"/>
      <c r="CJ2" s="81"/>
      <c r="CK2" s="81"/>
      <c r="CL2" s="81"/>
      <c r="CM2" s="81">
        <v>3396</v>
      </c>
      <c r="CN2" s="81"/>
      <c r="CO2" s="81"/>
      <c r="CP2" s="81">
        <v>1376.29</v>
      </c>
      <c r="CQ2" s="81">
        <f t="shared" ref="CQ2:CQ3" si="14">SUM(CC2:CP2)*1.16</f>
        <v>20734.628799999999</v>
      </c>
      <c r="CR2" s="81"/>
      <c r="CS2" s="81">
        <v>16669.84</v>
      </c>
      <c r="CT2" s="81">
        <f t="shared" ref="CT2:CT3" si="15">CQ2+CR2-CS2</f>
        <v>4064.7887999999984</v>
      </c>
      <c r="CU2" s="82" t="s">
        <v>119</v>
      </c>
    </row>
    <row r="3" spans="1:99" ht="20.399999999999999" x14ac:dyDescent="0.25">
      <c r="A3" s="5" t="s">
        <v>120</v>
      </c>
      <c r="B3" s="83" t="s">
        <v>97</v>
      </c>
      <c r="C3" s="40">
        <v>4500014435</v>
      </c>
      <c r="D3" s="41" t="s">
        <v>121</v>
      </c>
      <c r="E3" s="40">
        <v>10</v>
      </c>
      <c r="F3" s="42"/>
      <c r="G3" s="40" t="s">
        <v>99</v>
      </c>
      <c r="H3" s="40" t="s">
        <v>100</v>
      </c>
      <c r="I3" s="40" t="s">
        <v>101</v>
      </c>
      <c r="J3" s="40" t="s">
        <v>102</v>
      </c>
      <c r="K3" s="43"/>
      <c r="L3" s="44" t="s">
        <v>103</v>
      </c>
      <c r="M3" s="45">
        <v>21</v>
      </c>
      <c r="N3" s="46" t="s">
        <v>104</v>
      </c>
      <c r="O3" s="47" t="s">
        <v>105</v>
      </c>
      <c r="P3" s="48" t="s">
        <v>106</v>
      </c>
      <c r="Q3" s="48"/>
      <c r="R3" s="48" t="s">
        <v>107</v>
      </c>
      <c r="S3" s="49"/>
      <c r="T3" s="44" t="s">
        <v>108</v>
      </c>
      <c r="U3" s="44" t="s">
        <v>109</v>
      </c>
      <c r="V3" s="44" t="s">
        <v>110</v>
      </c>
      <c r="W3" s="50">
        <v>46034</v>
      </c>
      <c r="X3" s="51">
        <v>46071</v>
      </c>
      <c r="Y3" s="50">
        <v>46073</v>
      </c>
      <c r="Z3" s="52" t="s">
        <v>111</v>
      </c>
      <c r="AA3" s="52" t="s">
        <v>104</v>
      </c>
      <c r="AB3" s="53" t="s">
        <v>112</v>
      </c>
      <c r="AC3" s="54">
        <v>46076</v>
      </c>
      <c r="AD3" s="55" t="s">
        <v>113</v>
      </c>
      <c r="AE3" s="40" t="s">
        <v>114</v>
      </c>
      <c r="AF3" s="56">
        <v>46078</v>
      </c>
      <c r="AG3" s="57" t="s">
        <v>115</v>
      </c>
      <c r="AH3" s="57">
        <v>578</v>
      </c>
      <c r="AI3" s="58">
        <v>46086</v>
      </c>
      <c r="AJ3" s="59">
        <v>46065</v>
      </c>
      <c r="AK3" s="60" t="s">
        <v>116</v>
      </c>
      <c r="AL3" s="61">
        <v>46086</v>
      </c>
      <c r="AM3" s="62">
        <v>46092</v>
      </c>
      <c r="AN3" s="63"/>
      <c r="AO3" s="63" t="s">
        <v>117</v>
      </c>
      <c r="AP3" s="65">
        <v>46029</v>
      </c>
      <c r="AQ3" s="66">
        <v>18</v>
      </c>
      <c r="AR3" s="66">
        <v>540</v>
      </c>
      <c r="AS3" s="67"/>
      <c r="AT3" s="67"/>
      <c r="AU3" s="67"/>
      <c r="AV3" s="68"/>
      <c r="AW3" s="69"/>
      <c r="AX3" s="70"/>
      <c r="AY3" s="71"/>
      <c r="AZ3" s="72">
        <v>46059</v>
      </c>
      <c r="BA3" s="72">
        <v>46064</v>
      </c>
      <c r="BB3" s="72">
        <v>46064</v>
      </c>
      <c r="BC3" s="72">
        <v>46064</v>
      </c>
      <c r="BD3" s="72"/>
      <c r="BE3" s="72">
        <v>46066</v>
      </c>
      <c r="BF3" s="72">
        <v>46067</v>
      </c>
      <c r="BG3" s="72" t="s">
        <v>118</v>
      </c>
      <c r="BH3" s="72">
        <v>46065</v>
      </c>
      <c r="BI3" s="72" t="s">
        <v>118</v>
      </c>
      <c r="BJ3" s="73">
        <f t="shared" si="0"/>
        <v>46079</v>
      </c>
      <c r="BK3" s="74">
        <f t="shared" si="1"/>
        <v>46091</v>
      </c>
      <c r="BL3" s="75"/>
      <c r="BM3" s="76"/>
      <c r="BN3" s="77">
        <f t="shared" si="2"/>
        <v>46078</v>
      </c>
      <c r="BO3" s="78">
        <v>46081</v>
      </c>
      <c r="BP3" s="4" t="str">
        <f t="shared" ca="1" si="3"/>
        <v/>
      </c>
      <c r="BQ3" s="4" t="str">
        <f t="shared" ca="1" si="4"/>
        <v/>
      </c>
      <c r="BR3" s="4" t="str">
        <f t="shared" ca="1" si="5"/>
        <v>.</v>
      </c>
      <c r="BS3" s="4">
        <f t="shared" ca="1" si="6"/>
        <v>5</v>
      </c>
      <c r="BT3" s="4">
        <f t="shared" ca="1" si="7"/>
        <v>0</v>
      </c>
      <c r="BU3" s="4" t="str">
        <f t="shared" ca="1" si="8"/>
        <v>.</v>
      </c>
      <c r="BV3" s="4" t="str">
        <f t="shared" ca="1" si="9"/>
        <v/>
      </c>
      <c r="BW3" s="4" t="str">
        <f t="shared" ca="1" si="10"/>
        <v/>
      </c>
      <c r="BX3" s="4">
        <f t="shared" ca="1" si="11"/>
        <v>10</v>
      </c>
      <c r="BY3" s="4">
        <f t="shared" ca="1" si="12"/>
        <v>0</v>
      </c>
      <c r="BZ3" s="79">
        <v>46102</v>
      </c>
      <c r="CA3" s="80" t="str">
        <f t="shared" si="13"/>
        <v>26 16 1861 6001723 A4</v>
      </c>
      <c r="CB3" s="80" t="str">
        <f t="shared" si="13"/>
        <v>Z2601826 A4</v>
      </c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>
        <f t="shared" si="14"/>
        <v>0</v>
      </c>
      <c r="CR3" s="81"/>
      <c r="CS3" s="81"/>
      <c r="CT3" s="81">
        <f t="shared" si="15"/>
        <v>0</v>
      </c>
      <c r="CU3" s="82"/>
    </row>
  </sheetData>
  <conditionalFormatting sqref="BP2:BP3 BU2:BU3">
    <cfRule type="cellIs" dxfId="4" priority="1" operator="equal">
      <formula>"."</formula>
    </cfRule>
    <cfRule type="cellIs" dxfId="3" priority="2" operator="equal">
      <formula>TODAY()</formula>
    </cfRule>
  </conditionalFormatting>
  <conditionalFormatting sqref="BQ2:BQ3 BV2:BV3">
    <cfRule type="cellIs" dxfId="2" priority="3" operator="equal">
      <formula>"."</formula>
    </cfRule>
  </conditionalFormatting>
  <conditionalFormatting sqref="BR2:BR3 BW2:BW3">
    <cfRule type="cellIs" dxfId="1" priority="4" operator="equal">
      <formula>"."</formula>
    </cfRule>
  </conditionalFormatting>
  <conditionalFormatting sqref="BT2:BT3 BY2:BY3">
    <cfRule type="cellIs" dxfId="0" priority="5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2026-05-07T15:58:49Z</dcterms:created>
  <dcterms:modified xsi:type="dcterms:W3CDTF">2026-05-07T16:06:06Z</dcterms:modified>
</cp:coreProperties>
</file>